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<sst xmlns="http://schemas.openxmlformats.org/spreadsheetml/2006/main" count="48" uniqueCount="40">
  <si>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VINCENT — MONTHLY BUDGET WORKSHEET</t>
  </si>
  <si>
    <t xml:space="preserve">Fill in the yellow cells. Every total and the status line calculate themselves.</t>
  </si>
  <si>
    <t xml:space="preserve">HOW TO USE:  (1) Enter your income.  (2) Set a Target for each line — your plan.  (3) Fill in Actual as you spend.  Category names are just suggestions — rename, add, or delete any of them.  Only the YELLOW cells need input.</t>
  </si>
  <si>
    <t xml:space="preserve">EXAMPLE (for format) —  Rent:   Target 1,200    Actual 1,185    Left 15    (the "Left" column fills itself: Target minus Actual)</t>
  </si>
  <si>
    <t xml:space="preserve">Monthly income (after taxes)</t>
  </si>
  <si>
    <t xml:space="preserve">COMMITTED — bills that are the same every month</t>
  </si>
  <si>
    <t xml:space="preserve">Category</t>
  </si>
  <si>
    <t xml:space="preserve">Target</t>
  </si>
  <si>
    <t xml:space="preserve">Actual</t>
  </si>
  <si>
    <t xml:space="preserve">Left</t>
  </si>
  <si>
    <t xml:space="preserve">Rent / housing</t>
  </si>
  <si>
    <t xml:space="preserve">Car payment</t>
  </si>
  <si>
    <t xml:space="preserve">Car insurance</t>
  </si>
  <si>
    <t xml:space="preserve">Phone</t>
  </si>
  <si>
    <t xml:space="preserve">Internet</t>
  </si>
  <si>
    <t xml:space="preserve">Electric / utilities</t>
  </si>
  <si>
    <t xml:space="preserve">Committed total</t>
  </si>
  <si>
    <t xml:space="preserve">SAVINGS — pay yourself first</t>
  </si>
  <si>
    <t xml:space="preserve">Savings</t>
  </si>
  <si>
    <t xml:space="preserve">Savings total</t>
  </si>
  <si>
    <t xml:space="preserve">VARIABLE — spending that moves month to month</t>
  </si>
  <si>
    <t xml:space="preserve">Groceries</t>
  </si>
  <si>
    <t xml:space="preserve">Gas</t>
  </si>
  <si>
    <t xml:space="preserve">Dining / takeout</t>
  </si>
  <si>
    <t xml:space="preserve">Household / supplies</t>
  </si>
  <si>
    <t xml:space="preserve">Baby / kids</t>
  </si>
  <si>
    <t xml:space="preserve">Personal</t>
  </si>
  <si>
    <t xml:space="preserve">Subscriptions</t>
  </si>
  <si>
    <t xml:space="preserve">Miscellaneous</t>
  </si>
  <si>
    <t xml:space="preserve">Variable total</t>
  </si>
  <si>
    <t xml:space="preserve">THE MATH</t>
  </si>
  <si>
    <t xml:space="preserve">Income</t>
  </si>
  <si>
    <t xml:space="preserve">Planned (all targets)</t>
  </si>
  <si>
    <t xml:space="preserve">Plan vs income</t>
  </si>
  <si>
    <t xml:space="preserve">want this at $0 or higher</t>
  </si>
  <si>
    <t xml:space="preserve">Spent (all actuals)</t>
  </si>
  <si>
    <t xml:space="preserve">Left this month</t>
  </si>
  <si>
    <t xml:space="preserve">income minus what you've spent</t>
  </si>
  <si>
    <t xml:space="preserve">Status</t>
  </si>
  <si>
    <t xml:space="preserve">A planning worksheet, not financial advice. When it's filled in, send it back and your own live reconciliation tool gets built from these numbers.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</si>
</sst>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.5"/>
      <color rgb="FF16202E"/>
      <name val="Arial"/>
      <family val="0"/>
      <charset val="1"/>
    </font>
    <font>
      <b val="true"/>
      <i val="true"/>
      <sz val="9"/>
      <color rgb="FF6B7787"/>
      <name val="Arial"/>
      <family val="0"/>
      <charset val="1"/>
    </font>
    <font>
      <b val="true"/>
      <sz val="11"/>
      <color rgb="FF1620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6B7787"/>
      <name val="Arial"/>
      <family val="0"/>
      <charset val="1"/>
    </font>
    <font>
      <sz val="10"/>
      <color rgb="FF16202E"/>
      <name val="Arial"/>
      <family val="0"/>
      <charset val="1"/>
    </font>
    <font>
      <b val="true"/>
      <sz val="10"/>
      <color rgb="FF16202E"/>
      <name val="Arial"/>
      <family val="0"/>
      <charset val="1"/>
    </font>
    <font>
      <i val="true"/>
      <sz val="9"/>
      <color rgb="FF6B7787"/>
      <name val="Arial"/>
      <family val="0"/>
      <charset val="1"/>
    </font>
    <font>
      <b val="true"/>
      <sz val="10"/>
      <color rgb="FF36567C"/>
      <name val="Arial"/>
      <family val="0"/>
      <charset val="1"/>
    </font>
    <font>
      <i val="true"/>
      <sz val="8.5"/>
      <color rgb="FF6B778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202E"/>
        <bgColor rgb="FF003300"/>
      </patternFill>
    </fill>
    <fill>
      <patternFill patternType="solid">
        <fgColor rgb="FFE3EAF2"/>
        <bgColor rgb="FFE2EFE8"/>
      </patternFill>
    </fill>
    <fill>
      <patternFill patternType="solid">
        <fgColor rgb="FFFFE699"/>
        <bgColor rgb="FFFFCC99"/>
      </patternFill>
    </fill>
    <fill>
      <patternFill patternType="solid">
        <fgColor rgb="FF36567C"/>
        <bgColor rgb="FF2E6E4E"/>
      </patternFill>
    </fill>
    <fill>
      <patternFill patternType="solid">
        <fgColor rgb="FF2E6E4E"/>
        <bgColor rgb="FF36567C"/>
      </patternFill>
    </fill>
    <fill>
      <patternFill patternType="solid">
        <fgColor rgb="FFE2EFE8"/>
        <bgColor rgb="FFE3EAF2"/>
      </patternFill>
    </fill>
    <fill>
      <patternFill patternType="solid">
        <fgColor rgb="FF7A6A52"/>
        <bgColor rgb="FF6B7787"/>
      </patternFill>
    </fill>
    <fill>
      <patternFill patternType="solid">
        <fgColor rgb="FFEEEAE2"/>
        <bgColor rgb="FFE2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4E"/>
      <rgbColor rgb="FFC0C0C0"/>
      <rgbColor rgb="FF6B7787"/>
      <rgbColor rgb="FF9999FF"/>
      <rgbColor rgb="FF993366"/>
      <rgbColor rgb="FFEEEAE2"/>
      <rgbColor rgb="FFE2EFE8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2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6A52"/>
      <rgbColor rgb="FF969696"/>
      <rgbColor rgb="FF003366"/>
      <rgbColor rgb="FF339966"/>
      <rgbColor rgb="FF003300"/>
      <rgbColor rgb="FF333300"/>
      <rgbColor rgb="FF993300"/>
      <rgbColor rgb="FF993366"/>
      <rgbColor rgb="FF36567C"/>
      <rgbColor rgb="FF16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45.75" hidden="false" customHeight="true" outlineLevel="0" collapsed="false">
      <c r="A4" s="3" t="s">
        <v>2</v>
      </c>
      <c r="B4" s="3"/>
      <c r="C4" s="3"/>
      <c r="D4" s="3"/>
    </row>
    <row r="5" customFormat="false" ht="15.75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5" t="s">
        <v>4</v>
      </c>
      <c r="B7" s="6"/>
    </row>
    <row r="9" customFormat="false" ht="21.75" hidden="false" customHeight="true" outlineLevel="0" collapsed="false">
      <c r="A9" s="7" t="s">
        <v>5</v>
      </c>
      <c r="B9" s="7"/>
      <c r="C9" s="7"/>
      <c r="D9" s="7"/>
    </row>
    <row r="10" customFormat="false" ht="15" hidden="false" customHeight="false" outlineLevel="0" collapsed="false">
      <c r="A10" s="8" t="s">
        <v>6</v>
      </c>
      <c r="B10" s="9" t="s">
        <v>7</v>
      </c>
      <c r="C10" s="9" t="s">
        <v>8</v>
      </c>
      <c r="D10" s="9" t="s">
        <v>9</v>
      </c>
    </row>
    <row r="11" customFormat="false" ht="15" hidden="false" customHeight="false" outlineLevel="0" collapsed="false">
      <c r="A11" s="10" t="s">
        <v>10</v>
      </c>
      <c r="B11" s="11"/>
      <c r="C11" s="11"/>
      <c r="D11" s="12" t="str">
        <f aca="false">IF(AND(B11=0,C11=0),"",B11-C11)</f>
        <v/>
      </c>
    </row>
    <row r="12" customFormat="false" ht="15" hidden="false" customHeight="false" outlineLevel="0" collapsed="false">
      <c r="A12" s="10" t="s">
        <v>11</v>
      </c>
      <c r="B12" s="11"/>
      <c r="C12" s="11"/>
      <c r="D12" s="12" t="str">
        <f aca="false">IF(AND(B12=0,C12=0),"",B12-C12)</f>
        <v/>
      </c>
    </row>
    <row r="13" customFormat="false" ht="15" hidden="false" customHeight="false" outlineLevel="0" collapsed="false">
      <c r="A13" s="10" t="s">
        <v>12</v>
      </c>
      <c r="B13" s="11"/>
      <c r="C13" s="11"/>
      <c r="D13" s="12" t="str">
        <f aca="false">IF(AND(B13=0,C13=0),"",B13-C13)</f>
        <v/>
      </c>
    </row>
    <row r="14" customFormat="false" ht="15" hidden="false" customHeight="false" outlineLevel="0" collapsed="false">
      <c r="A14" s="10" t="s">
        <v>13</v>
      </c>
      <c r="B14" s="11"/>
      <c r="C14" s="11"/>
      <c r="D14" s="12" t="str">
        <f aca="false">IF(AND(B14=0,C14=0),"",B14-C14)</f>
        <v/>
      </c>
    </row>
    <row r="15" customFormat="false" ht="15" hidden="false" customHeight="false" outlineLevel="0" collapsed="false">
      <c r="A15" s="10" t="s">
        <v>14</v>
      </c>
      <c r="B15" s="11"/>
      <c r="C15" s="11"/>
      <c r="D15" s="12" t="str">
        <f aca="false">IF(AND(B15=0,C15=0),"",B15-C15)</f>
        <v/>
      </c>
    </row>
    <row r="16" customFormat="false" ht="15" hidden="false" customHeight="false" outlineLevel="0" collapsed="false">
      <c r="A16" s="10" t="s">
        <v>15</v>
      </c>
      <c r="B16" s="11"/>
      <c r="C16" s="11"/>
      <c r="D16" s="12" t="str">
        <f aca="false">IF(AND(B16=0,C16=0),"",B16-C16)</f>
        <v/>
      </c>
    </row>
    <row r="17" customFormat="false" ht="15" hidden="false" customHeight="false" outlineLevel="0" collapsed="false">
      <c r="A17" s="13" t="s">
        <v>16</v>
      </c>
      <c r="B17" s="14" t="n">
        <f aca="false">SUM(B11:B16)</f>
        <v>0</v>
      </c>
      <c r="C17" s="14" t="n">
        <f aca="false">SUM(C11:C16)</f>
        <v>0</v>
      </c>
      <c r="D17" s="14" t="n">
        <f aca="false">B17-C17</f>
        <v>0</v>
      </c>
    </row>
    <row r="19" customFormat="false" ht="21.75" hidden="false" customHeight="true" outlineLevel="0" collapsed="false">
      <c r="A19" s="15" t="s">
        <v>17</v>
      </c>
      <c r="B19" s="15"/>
      <c r="C19" s="15"/>
      <c r="D19" s="15"/>
    </row>
    <row r="20" customFormat="false" ht="15" hidden="false" customHeight="false" outlineLevel="0" collapsed="false">
      <c r="A20" s="8" t="s">
        <v>6</v>
      </c>
      <c r="B20" s="9" t="s">
        <v>7</v>
      </c>
      <c r="C20" s="9" t="s">
        <v>8</v>
      </c>
      <c r="D20" s="9" t="s">
        <v>9</v>
      </c>
    </row>
    <row r="21" customFormat="false" ht="15" hidden="false" customHeight="false" outlineLevel="0" collapsed="false">
      <c r="A21" s="10" t="s">
        <v>18</v>
      </c>
      <c r="B21" s="11"/>
      <c r="C21" s="11"/>
      <c r="D21" s="12" t="str">
        <f aca="false">IF(AND(B21=0,C21=0),"",B21-C21)</f>
        <v/>
      </c>
    </row>
    <row r="22" customFormat="false" ht="15" hidden="false" customHeight="false" outlineLevel="0" collapsed="false">
      <c r="A22" s="10"/>
      <c r="B22" s="11"/>
      <c r="C22" s="11"/>
      <c r="D22" s="12" t="str">
        <f aca="false">IF(AND(B22=0,C22=0),"",B22-C22)</f>
        <v/>
      </c>
    </row>
    <row r="23" customFormat="false" ht="15" hidden="false" customHeight="false" outlineLevel="0" collapsed="false">
      <c r="A23" s="16" t="s">
        <v>19</v>
      </c>
      <c r="B23" s="17" t="n">
        <f aca="false">SUM(B21:B22)</f>
        <v>0</v>
      </c>
      <c r="C23" s="17" t="n">
        <f aca="false">SUM(C21:C22)</f>
        <v>0</v>
      </c>
      <c r="D23" s="17" t="n">
        <f aca="false">B23-C23</f>
        <v>0</v>
      </c>
    </row>
    <row r="25" customFormat="false" ht="21.75" hidden="false" customHeight="true" outlineLevel="0" collapsed="false">
      <c r="A25" s="18" t="s">
        <v>20</v>
      </c>
      <c r="B25" s="18"/>
      <c r="C25" s="18"/>
      <c r="D25" s="18"/>
    </row>
    <row r="26" customFormat="false" ht="15" hidden="false" customHeight="false" outlineLevel="0" collapsed="false">
      <c r="A26" s="8" t="s">
        <v>6</v>
      </c>
      <c r="B26" s="9" t="s">
        <v>7</v>
      </c>
      <c r="C26" s="9" t="s">
        <v>8</v>
      </c>
      <c r="D26" s="9" t="s">
        <v>9</v>
      </c>
    </row>
    <row r="27" customFormat="false" ht="15" hidden="false" customHeight="false" outlineLevel="0" collapsed="false">
      <c r="A27" s="10" t="s">
        <v>21</v>
      </c>
      <c r="B27" s="11"/>
      <c r="C27" s="11"/>
      <c r="D27" s="12" t="str">
        <f aca="false">IF(AND(B27=0,C27=0),"",B27-C27)</f>
        <v/>
      </c>
    </row>
    <row r="28" customFormat="false" ht="15" hidden="false" customHeight="false" outlineLevel="0" collapsed="false">
      <c r="A28" s="10" t="s">
        <v>22</v>
      </c>
      <c r="B28" s="11"/>
      <c r="C28" s="11"/>
      <c r="D28" s="12" t="str">
        <f aca="false">IF(AND(B28=0,C28=0),"",B28-C28)</f>
        <v/>
      </c>
    </row>
    <row r="29" customFormat="false" ht="15" hidden="false" customHeight="false" outlineLevel="0" collapsed="false">
      <c r="A29" s="10" t="s">
        <v>23</v>
      </c>
      <c r="B29" s="11"/>
      <c r="C29" s="11"/>
      <c r="D29" s="12" t="str">
        <f aca="false">IF(AND(B29=0,C29=0),"",B29-C29)</f>
        <v/>
      </c>
    </row>
    <row r="30" customFormat="false" ht="15" hidden="false" customHeight="false" outlineLevel="0" collapsed="false">
      <c r="A30" s="10" t="s">
        <v>24</v>
      </c>
      <c r="B30" s="11"/>
      <c r="C30" s="11"/>
      <c r="D30" s="12" t="str">
        <f aca="false">IF(AND(B30=0,C30=0),"",B30-C30)</f>
        <v/>
      </c>
    </row>
    <row r="31" customFormat="false" ht="15" hidden="false" customHeight="false" outlineLevel="0" collapsed="false">
      <c r="A31" s="10" t="s">
        <v>25</v>
      </c>
      <c r="B31" s="11"/>
      <c r="C31" s="11"/>
      <c r="D31" s="12" t="str">
        <f aca="false">IF(AND(B31=0,C31=0),"",B31-C31)</f>
        <v/>
      </c>
    </row>
    <row r="32" customFormat="false" ht="15" hidden="false" customHeight="false" outlineLevel="0" collapsed="false">
      <c r="A32" s="10" t="s">
        <v>26</v>
      </c>
      <c r="B32" s="11"/>
      <c r="C32" s="11"/>
      <c r="D32" s="12" t="str">
        <f aca="false">IF(AND(B32=0,C32=0),"",B32-C32)</f>
        <v/>
      </c>
    </row>
    <row r="33" customFormat="false" ht="15" hidden="false" customHeight="false" outlineLevel="0" collapsed="false">
      <c r="A33" s="10" t="s">
        <v>27</v>
      </c>
      <c r="B33" s="11"/>
      <c r="C33" s="11"/>
      <c r="D33" s="12" t="str">
        <f aca="false">IF(AND(B33=0,C33=0),"",B33-C33)</f>
        <v/>
      </c>
    </row>
    <row r="34" customFormat="false" ht="15" hidden="false" customHeight="false" outlineLevel="0" collapsed="false">
      <c r="A34" s="10" t="s">
        <v>28</v>
      </c>
      <c r="B34" s="11"/>
      <c r="C34" s="11"/>
      <c r="D34" s="12" t="str">
        <f aca="false">IF(AND(B34=0,C34=0),"",B34-C34)</f>
        <v/>
      </c>
    </row>
    <row r="35" customFormat="false" ht="15" hidden="false" customHeight="false" outlineLevel="0" collapsed="false">
      <c r="A35" s="10"/>
      <c r="B35" s="11"/>
      <c r="C35" s="11"/>
      <c r="D35" s="12" t="str">
        <f aca="false">IF(AND(B35=0,C35=0),"",B35-C35)</f>
        <v/>
      </c>
    </row>
    <row r="36" customFormat="false" ht="15" hidden="false" customHeight="false" outlineLevel="0" collapsed="false">
      <c r="A36" s="10"/>
      <c r="B36" s="11"/>
      <c r="C36" s="11"/>
      <c r="D36" s="12" t="str">
        <f aca="false">IF(AND(B36=0,C36=0),"",B36-C36)</f>
        <v/>
      </c>
    </row>
    <row r="37" customFormat="false" ht="15" hidden="false" customHeight="false" outlineLevel="0" collapsed="false">
      <c r="A37" s="19" t="s">
        <v>29</v>
      </c>
      <c r="B37" s="20" t="n">
        <f aca="false">SUM(B27:B36)</f>
        <v>0</v>
      </c>
      <c r="C37" s="20" t="n">
        <f aca="false">SUM(C27:C36)</f>
        <v>0</v>
      </c>
      <c r="D37" s="20" t="n">
        <f aca="false">B37-C37</f>
        <v>0</v>
      </c>
    </row>
    <row r="39" customFormat="false" ht="21.75" hidden="false" customHeight="true" outlineLevel="0" collapsed="false">
      <c r="A39" s="21" t="s">
        <v>30</v>
      </c>
      <c r="B39" s="21"/>
      <c r="C39" s="21"/>
      <c r="D39" s="21"/>
    </row>
    <row r="40" customFormat="false" ht="15" hidden="false" customHeight="false" outlineLevel="0" collapsed="false">
      <c r="A40" s="22" t="s">
        <v>31</v>
      </c>
      <c r="B40" s="23" t="n">
        <f aca="false">B7</f>
        <v>0</v>
      </c>
    </row>
    <row r="41" customFormat="false" ht="15" hidden="false" customHeight="false" outlineLevel="0" collapsed="false">
      <c r="A41" s="22" t="s">
        <v>32</v>
      </c>
      <c r="B41" s="23" t="n">
        <f aca="false">B17+B23+B37</f>
        <v>0</v>
      </c>
    </row>
    <row r="42" customFormat="false" ht="15" hidden="false" customHeight="false" outlineLevel="0" collapsed="false">
      <c r="A42" s="24" t="s">
        <v>33</v>
      </c>
      <c r="B42" s="25" t="n">
        <f aca="false">B40-B41</f>
        <v>0</v>
      </c>
      <c r="C42" s="26" t="s">
        <v>34</v>
      </c>
      <c r="D42" s="26"/>
    </row>
    <row r="43" customFormat="false" ht="15" hidden="false" customHeight="false" outlineLevel="0" collapsed="false">
      <c r="A43" s="22" t="s">
        <v>35</v>
      </c>
      <c r="B43" s="23" t="n">
        <f aca="false">C17+C23+C37</f>
        <v>0</v>
      </c>
    </row>
    <row r="44" customFormat="false" ht="15" hidden="false" customHeight="false" outlineLevel="0" collapsed="false">
      <c r="A44" s="24" t="s">
        <v>36</v>
      </c>
      <c r="B44" s="25" t="n">
        <f aca="false">B40-B43</f>
        <v>0</v>
      </c>
      <c r="C44" s="26" t="s">
        <v>37</v>
      </c>
      <c r="D44" s="26"/>
    </row>
    <row r="45" customFormat="false" ht="30" hidden="false" customHeight="true" outlineLevel="0" collapsed="false">
      <c r="A45" s="24" t="s">
        <v>38</v>
      </c>
      <c r="B45" s="27" t="str">
        <f aca="false">IF(AND(B40=0,B41=0),"Start here — enter your income and a target for each line",IF(B42&lt;0,"Over by "&amp;TEXT(-B42,"$#,##0")&amp;" — targets add up to more than income; trim them",IF(B42=0,"Balanced — every dollar is assigned",TEXT(B42,"$#,##0")&amp;" unassigned — give it a job, even if it is savings")))</f>
        <v>Start here — enter your income and a target for each line</v>
      </c>
      <c r="C45" s="27"/>
      <c r="D45" s="27"/>
    </row>
    <row r="47" customFormat="false" ht="25.5" hidden="false" customHeight="true" outlineLevel="0" collapsed="false">
      <c r="A47" s="28" t="s">
        <v>39</v>
      </c>
      <c r="B47" s="28"/>
      <c r="C47" s="28"/>
      <c r="D47" s="28"/>
    </row>
  </sheetData>
  <mergeCells count="12">
    <mergeCell ref="A1:D1"/>
    <mergeCell ref="A2:D2"/>
    <mergeCell ref="A4:D4"/>
    <mergeCell ref="A5:D5"/>
    <mergeCell ref="A9:D9"/>
    <mergeCell ref="A19:D19"/>
    <mergeCell ref="A25:D25"/>
    <mergeCell ref="A39:D39"/>
    <mergeCell ref="C42:D42"/>
    <mergeCell ref="C44:D44"/>
    <mergeCell ref="B45:D45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2026-07-11T02:34:08Z</dcterms:created>
  <dc:creator>openpyxl</dc:creator>
  <dc:description/>
  <dc:language>en-US</dc:language>
  <cp:lastModifiedBy/>
  <dcterms:modified xsi:type="dcterms:W3CDTF">2026-07-11T02:34:08Z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